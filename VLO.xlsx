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19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Q424 guidance: 5500-5550</t>
        </r>
      </text>
    </comment>
  </commentList>
</comments>
</file>

<file path=xl/sharedStrings.xml><?xml version="1.0" encoding="utf-8"?>
<sst xmlns="http://schemas.openxmlformats.org/spreadsheetml/2006/main" count="127" uniqueCount="115">
  <si>
    <t xml:space="preserve">Segmento</t>
  </si>
  <si>
    <t xml:space="preserve">Competitors</t>
  </si>
  <si>
    <t xml:space="preserve">Price</t>
  </si>
  <si>
    <t xml:space="preserve">Refining</t>
  </si>
  <si>
    <t xml:space="preserve">Marathon Petroleum, Phillips 66, PBF Energy</t>
  </si>
  <si>
    <t xml:space="preserve">Shares</t>
  </si>
  <si>
    <t xml:space="preserve">Q226</t>
  </si>
  <si>
    <t xml:space="preserve">Ethanol</t>
  </si>
  <si>
    <t xml:space="preserve">MC</t>
  </si>
  <si>
    <t xml:space="preserve">Renewable Diesel</t>
  </si>
  <si>
    <t xml:space="preserve">Cash</t>
  </si>
  <si>
    <t xml:space="preserve">Debt</t>
  </si>
  <si>
    <t xml:space="preserve">EV</t>
  </si>
  <si>
    <t xml:space="preserve">CEO: R. Lane Riggs</t>
  </si>
  <si>
    <t xml:space="preserve">CFO: Homer Bhullar</t>
  </si>
  <si>
    <t xml:space="preserve">COO: Gary K. Simmons</t>
  </si>
  <si>
    <t xml:space="preserve">50% stake in Diamond Green Diesel (JV con Darling Ingredients)</t>
  </si>
  <si>
    <t xml:space="preserve">Main</t>
  </si>
  <si>
    <t xml:space="preserve">USD</t>
  </si>
  <si>
    <t xml:space="preserve">Q120</t>
  </si>
  <si>
    <t xml:space="preserve">Q220</t>
  </si>
  <si>
    <t xml:space="preserve">Q320</t>
  </si>
  <si>
    <t xml:space="preserve">Q420</t>
  </si>
  <si>
    <t xml:space="preserve">Q121</t>
  </si>
  <si>
    <t xml:space="preserve">Q221</t>
  </si>
  <si>
    <t xml:space="preserve">Q321</t>
  </si>
  <si>
    <t xml:space="preserve">Q421</t>
  </si>
  <si>
    <t xml:space="preserve">Q122</t>
  </si>
  <si>
    <t xml:space="preserve">Q222</t>
  </si>
  <si>
    <t xml:space="preserve">Q322</t>
  </si>
  <si>
    <t xml:space="preserve">FQ422</t>
  </si>
  <si>
    <t xml:space="preserve">FQ123</t>
  </si>
  <si>
    <t xml:space="preserve">FQ223</t>
  </si>
  <si>
    <t xml:space="preserve">FQ323</t>
  </si>
  <si>
    <t xml:space="preserve">FQ423</t>
  </si>
  <si>
    <t xml:space="preserve">FQ124</t>
  </si>
  <si>
    <t xml:space="preserve">FQ224</t>
  </si>
  <si>
    <t xml:space="preserve">FQ324</t>
  </si>
  <si>
    <t xml:space="preserve">FQ424</t>
  </si>
  <si>
    <t xml:space="preserve">FQ125</t>
  </si>
  <si>
    <t xml:space="preserve">FQ225</t>
  </si>
  <si>
    <t xml:space="preserve">FQ325</t>
  </si>
  <si>
    <t xml:space="preserve">FQ425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</si>
  <si>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</si>
  <si>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</si>
  <si>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</si>
  <si>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</si>
  <si>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</si>
  <si>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</si>
  <si>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</si>
  <si>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</si>
  <si>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</si>
  <si>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</si>
  <si>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</si>
  <si>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</si>
  <si>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Refining OI</t>
  </si>
  <si>
    <t xml:space="preserve">Renewable Diesel OI</t>
  </si>
  <si>
    <t xml:space="preserve">Ethanol OI</t>
  </si>
  <si>
    <t xml:space="preserve">Refining Revenue</t>
  </si>
  <si>
    <t xml:space="preserve">Renewable Diesel Revenue</t>
  </si>
  <si>
    <t xml:space="preserve">Ethanol Revenue</t>
  </si>
  <si>
    <t xml:space="preserve">Revenue</t>
  </si>
  <si>
    <t xml:space="preserve">COGS</t>
  </si>
  <si>
    <t xml:space="preserve">Gross Profit</t>
  </si>
  <si>
    <t xml:space="preserve">Operating Expenses (excl. D&amp;A)</t>
  </si>
  <si>
    <t xml:space="preserve">D&amp;A</t>
  </si>
  <si>
    <t xml:space="preserve">G&amp;A</t>
  </si>
  <si>
    <t xml:space="preserve">Operating Expenses</t>
  </si>
  <si>
    <t xml:space="preserve">Operating Income</t>
  </si>
  <si>
    <t xml:space="preserve">Interest Expense</t>
  </si>
  <si>
    <t xml:space="preserve">Pretax Income</t>
  </si>
  <si>
    <t xml:space="preserve">Taxes</t>
  </si>
  <si>
    <t xml:space="preserve">Net Income</t>
  </si>
  <si>
    <t xml:space="preserve">EPS</t>
  </si>
  <si>
    <t xml:space="preserve">Revenue y/y</t>
  </si>
  <si>
    <t xml:space="preserve">Revenue cc</t>
  </si>
  <si>
    <t xml:space="preserve">Gross Margin</t>
  </si>
  <si>
    <t xml:space="preserve">Tax Rate</t>
  </si>
  <si>
    <t xml:space="preserve">Net Cash</t>
  </si>
  <si>
    <t xml:space="preserve">AR</t>
  </si>
  <si>
    <t xml:space="preserve">Prepaids</t>
  </si>
  <si>
    <t xml:space="preserve">PP&amp;E</t>
  </si>
  <si>
    <t xml:space="preserve">Lease</t>
  </si>
  <si>
    <t xml:space="preserve">Goodwill</t>
  </si>
  <si>
    <t xml:space="preserve">DT</t>
  </si>
  <si>
    <t xml:space="preserve">OA</t>
  </si>
  <si>
    <t xml:space="preserve">Assets</t>
  </si>
  <si>
    <t xml:space="preserve">AP</t>
  </si>
  <si>
    <t xml:space="preserve">AE</t>
  </si>
  <si>
    <t xml:space="preserve">DR</t>
  </si>
  <si>
    <t xml:space="preserve">OL</t>
  </si>
  <si>
    <t xml:space="preserve">PIC</t>
  </si>
  <si>
    <t xml:space="preserve">Retained</t>
  </si>
  <si>
    <t xml:space="preserve">AOCI</t>
  </si>
  <si>
    <t xml:space="preserve">Treasury</t>
  </si>
  <si>
    <t xml:space="preserve">L+SE</t>
  </si>
  <si>
    <t xml:space="preserve">Model NI</t>
  </si>
  <si>
    <t xml:space="preserve">Reported NI</t>
  </si>
  <si>
    <t xml:space="preserve">SBC</t>
  </si>
  <si>
    <t xml:space="preserve">Investment</t>
  </si>
  <si>
    <t xml:space="preserve">Other</t>
  </si>
  <si>
    <t xml:space="preserve">WC</t>
  </si>
  <si>
    <t xml:space="preserve">CFFO</t>
  </si>
  <si>
    <t xml:space="preserve">Investments</t>
  </si>
  <si>
    <t xml:space="preserve">Acquisitions</t>
  </si>
  <si>
    <t xml:space="preserve">PPE</t>
  </si>
  <si>
    <t xml:space="preserve">CFFI</t>
  </si>
  <si>
    <t xml:space="preserve">Buyback</t>
  </si>
  <si>
    <t xml:space="preserve">Dividends</t>
  </si>
  <si>
    <t xml:space="preserve">CFFF</t>
  </si>
  <si>
    <t xml:space="preserve">FX</t>
  </si>
  <si>
    <t xml:space="preserve">CIC</t>
  </si>
  <si>
    <t xml:space="preserve">CFFO TTM</t>
  </si>
  <si>
    <t xml:space="preserve">CFFO TTM y/y</t>
  </si>
  <si>
    <t xml:space="preserve">FCF TTM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</si>
</sst>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m/d/yy;@"/>
    <numFmt numFmtId="168" formatCode="0%"/>
    <numFmt numFmtId="169" formatCode="0.0%"/>
  </numFmts>
  <fonts count="8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theme="1"/>
      <name val="Arial"/>
      <family val="2"/>
      <charset val="1"/>
    </font>
    <font>
      <sz val="10"/>
      <color theme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5"/>
  <sheetViews>
    <sheetView showFormulas="false" showGridLines="true" showRowColHeaders="true" showZeros="true" rightToLeft="false" tabSelected="false" showOutlineSymbols="true" defaultGridColor="true" view="normal" topLeftCell="A1" colorId="64" zoomScale="205" zoomScaleNormal="205" zoomScalePageLayoutView="100" workbookViewId="0">
      <selection pane="topLeft" activeCell="M16" activeCellId="0" sqref="M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.29"/>
    <col collapsed="false" customWidth="true" hidden="false" outlineLevel="0" max="9" min="9" style="1" width="5.29"/>
    <col collapsed="false" customWidth="true" hidden="false" outlineLevel="0" max="10" min="10" style="1" width="5.42"/>
    <col collapsed="false" customWidth="true" hidden="false" outlineLevel="0" max="11" min="11" style="1" width="5.86"/>
    <col collapsed="false" customWidth="true" hidden="false" outlineLevel="0" max="12" min="12" style="1" width="5"/>
  </cols>
  <sheetData>
    <row r="3" customFormat="false" ht="12.75" hidden="false" customHeight="true" outlineLevel="0" collapsed="false">
      <c r="B3" s="2" t="s">
        <v>0</v>
      </c>
      <c r="E3" s="2" t="s">
        <v>1</v>
      </c>
      <c r="M3" s="1" t="s">
        <v>2</v>
      </c>
      <c r="N3" s="3" t="n">
        <v>302.99</v>
      </c>
    </row>
    <row r="4" customFormat="false" ht="12.75" hidden="false" customHeight="true" outlineLevel="0" collapsed="false">
      <c r="B4" s="1" t="s">
        <v>3</v>
      </c>
      <c r="E4" s="1" t="s">
        <v>4</v>
      </c>
      <c r="M4" s="1" t="s">
        <v>5</v>
      </c>
      <c r="N4" s="4" t="n">
        <v>287.93</v>
      </c>
      <c r="O4" s="5" t="s">
        <v>6</v>
      </c>
    </row>
    <row r="5" customFormat="false" ht="12.75" hidden="false" customHeight="true" outlineLevel="0" collapsed="false">
      <c r="B5" s="1" t="s">
        <v>7</v>
      </c>
      <c r="M5" s="1" t="s">
        <v>8</v>
      </c>
      <c r="N5" s="4" t="n">
        <f aca="false">+N3*N4</f>
        <v>87239.9107</v>
      </c>
    </row>
    <row r="6" customFormat="false" ht="12.75" hidden="false" customHeight="true" outlineLevel="0" collapsed="false">
      <c r="B6" s="1" t="s">
        <v>9</v>
      </c>
      <c r="M6" s="1" t="s">
        <v>10</v>
      </c>
      <c r="N6" s="4" t="n">
        <v>7874</v>
      </c>
      <c r="O6" s="5" t="s">
        <v>6</v>
      </c>
    </row>
    <row r="7" customFormat="false" ht="12.75" hidden="false" customHeight="true" outlineLevel="0" collapsed="false">
      <c r="M7" s="1" t="s">
        <v>11</v>
      </c>
      <c r="N7" s="4" t="n">
        <v>9101</v>
      </c>
      <c r="O7" s="5" t="s">
        <v>6</v>
      </c>
    </row>
    <row r="8" customFormat="false" ht="12.75" hidden="false" customHeight="true" outlineLevel="0" collapsed="false">
      <c r="M8" s="1" t="s">
        <v>12</v>
      </c>
      <c r="N8" s="4" t="n">
        <f aca="false">+N5-N6+N7</f>
        <v>88466.9107</v>
      </c>
    </row>
    <row r="9" customFormat="false" ht="12.75" hidden="false" customHeight="true" outlineLevel="0" collapsed="false">
      <c r="N9" s="4"/>
    </row>
    <row r="10" customFormat="false" ht="12.75" hidden="false" customHeight="true" outlineLevel="0" collapsed="false">
      <c r="M10" s="1" t="s">
        <v>13</v>
      </c>
    </row>
    <row r="11" customFormat="false" ht="12.75" hidden="false" customHeight="true" outlineLevel="0" collapsed="false">
      <c r="M11" s="1" t="s">
        <v>14</v>
      </c>
    </row>
    <row r="12" customFormat="false" ht="12.75" hidden="false" customHeight="true" outlineLevel="0" collapsed="false">
      <c r="M12" s="1" t="s">
        <v>15</v>
      </c>
    </row>
    <row r="15" customFormat="false" ht="12.75" hidden="false" customHeight="true" outlineLevel="0" collapsed="false">
      <c r="B15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9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2" ySplit="3" topLeftCell="AB37" activePane="bottomRight" state="frozen"/>
      <selection pane="topLeft" activeCell="A1" activeCellId="0" sqref="A1"/>
      <selection pane="topRight" activeCell="AB1" activeCellId="0" sqref="AB1"/>
      <selection pane="bottomLeft" activeCell="A37" activeCellId="0" sqref="A37"/>
      <selection pane="bottomRigh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.14"/>
    <col collapsed="false" customWidth="true" hidden="false" outlineLevel="0" max="5" min="3" style="5" width="9"/>
    <col collapsed="false" customWidth="true" hidden="false" outlineLevel="0" max="6" min="6" style="5" width="8.86"/>
    <col collapsed="false" customWidth="true" hidden="false" outlineLevel="0" max="25" min="7" style="5" width="9"/>
    <col collapsed="false" customWidth="true" hidden="false" outlineLevel="0" max="39" min="29" style="1" width="9.57"/>
    <col collapsed="false" customWidth="true" hidden="false" outlineLevel="0" max="42" min="42" style="1" width="12"/>
  </cols>
  <sheetData>
    <row r="1" customFormat="false" ht="12.75" hidden="false" customHeight="true" outlineLevel="0" collapsed="false">
      <c r="A1" s="6" t="s">
        <v>17</v>
      </c>
    </row>
    <row r="2" s="7" customFormat="true" ht="12.75" hidden="false" customHeight="true" outlineLevel="0" collapsed="false">
      <c r="C2" s="8" t="n">
        <v>43921</v>
      </c>
      <c r="D2" s="8" t="n">
        <v>44012</v>
      </c>
      <c r="E2" s="8" t="n">
        <v>44104</v>
      </c>
      <c r="F2" s="8" t="n">
        <v>44196</v>
      </c>
      <c r="G2" s="8" t="n">
        <v>44286</v>
      </c>
      <c r="H2" s="8" t="n">
        <v>44377</v>
      </c>
      <c r="I2" s="8" t="n">
        <v>44469</v>
      </c>
      <c r="J2" s="8" t="n">
        <v>44561</v>
      </c>
      <c r="K2" s="8" t="n">
        <v>44651</v>
      </c>
      <c r="L2" s="8" t="n">
        <v>44742</v>
      </c>
      <c r="M2" s="8" t="n">
        <v>44834</v>
      </c>
      <c r="N2" s="8" t="n">
        <v>44926</v>
      </c>
      <c r="O2" s="8" t="n">
        <v>45016</v>
      </c>
      <c r="P2" s="8" t="n">
        <v>45107</v>
      </c>
      <c r="Q2" s="8" t="n">
        <v>45199</v>
      </c>
      <c r="R2" s="8" t="n">
        <v>45291</v>
      </c>
      <c r="S2" s="8" t="n">
        <v>45382</v>
      </c>
      <c r="T2" s="8" t="n">
        <v>45473</v>
      </c>
      <c r="U2" s="8" t="n">
        <v>45565</v>
      </c>
      <c r="V2" s="8" t="n">
        <v>45657</v>
      </c>
      <c r="W2" s="8" t="n">
        <v>45747</v>
      </c>
      <c r="X2" s="8" t="n">
        <v>45838</v>
      </c>
      <c r="Y2" s="8" t="n">
        <v>45930</v>
      </c>
      <c r="Z2" s="8" t="n">
        <v>46022</v>
      </c>
      <c r="AC2" s="7" t="n">
        <f aca="false">+F2</f>
        <v>44196</v>
      </c>
      <c r="AD2" s="7" t="n">
        <f aca="false">+J2</f>
        <v>44561</v>
      </c>
      <c r="AE2" s="7" t="n">
        <f aca="false">+AD2+365</f>
        <v>44926</v>
      </c>
      <c r="AF2" s="7" t="n">
        <f aca="false">+AE2+365</f>
        <v>45291</v>
      </c>
      <c r="AG2" s="7" t="n">
        <f aca="false">+AF2+365</f>
        <v>45656</v>
      </c>
      <c r="AH2" s="7" t="n">
        <f aca="false">+AG2+365</f>
        <v>46021</v>
      </c>
      <c r="AI2" s="7" t="n">
        <f aca="false">+AH2+365</f>
        <v>46386</v>
      </c>
      <c r="AJ2" s="7" t="n">
        <f aca="false">+AI2+365</f>
        <v>46751</v>
      </c>
      <c r="AK2" s="7" t="n">
        <f aca="false">+AJ2+365</f>
        <v>47116</v>
      </c>
      <c r="AL2" s="7" t="n">
        <f aca="false">+AK2+365</f>
        <v>47481</v>
      </c>
      <c r="AM2" s="7" t="n">
        <f aca="false">+AL2+365</f>
        <v>47846</v>
      </c>
    </row>
    <row r="3" customFormat="false" ht="12.75" hidden="false" customHeight="true" outlineLevel="0" collapsed="false">
      <c r="B3" s="1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 t="s">
        <v>30</v>
      </c>
      <c r="O3" s="5" t="s">
        <v>31</v>
      </c>
      <c r="P3" s="5" t="s">
        <v>32</v>
      </c>
      <c r="Q3" s="5" t="s">
        <v>33</v>
      </c>
      <c r="R3" s="5" t="s">
        <v>34</v>
      </c>
      <c r="S3" s="5" t="s">
        <v>35</v>
      </c>
      <c r="T3" s="5" t="s">
        <v>36</v>
      </c>
      <c r="U3" s="5" t="s">
        <v>37</v>
      </c>
      <c r="V3" s="5" t="s">
        <v>38</v>
      </c>
      <c r="W3" s="5" t="s">
        <v>39</v>
      </c>
      <c r="X3" s="5" t="s">
        <v>40</v>
      </c>
      <c r="Y3" s="5" t="s">
        <v>41</v>
      </c>
      <c r="Z3" s="5" t="s">
        <v>42</v>
      </c>
      <c r="AB3" s="5" t="s">
        <v>43</v>
      </c>
      <c r="AC3" s="5" t="s">
        <v>44</v>
      </c>
      <c r="AD3" s="5" t="s">
        <v>45</v>
      </c>
      <c r="AE3" s="5" t="s">
        <v>46</v>
      </c>
      <c r="AF3" s="5" t="s">
        <v>47</v>
      </c>
      <c r="AG3" s="5" t="s">
        <v>48</v>
      </c>
      <c r="AH3" s="5" t="s">
        <v>49</v>
      </c>
      <c r="AI3" s="5" t="s">
        <v>50</v>
      </c>
      <c r="AJ3" s="5" t="s">
        <v>51</v>
      </c>
      <c r="AK3" s="5" t="s">
        <v>52</v>
      </c>
      <c r="AL3" s="5" t="s">
        <v>53</v>
      </c>
      <c r="AM3" s="5" t="s">
        <v>54</v>
      </c>
    </row>
    <row r="4" s="4" customFormat="true" ht="12.75" hidden="false" customHeight="true" outlineLevel="0" collapsed="false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customFormat="false" ht="12.75" hidden="false" customHeight="true" outlineLevel="0" collapsed="false"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customFormat="false" ht="12.75" hidden="false" customHeight="true" outlineLevel="0" collapsed="false">
      <c r="B6" s="1" t="s">
        <v>55</v>
      </c>
      <c r="C6" s="1" t="n">
        <v>-2087</v>
      </c>
      <c r="E6" s="5" t="n">
        <v>-629</v>
      </c>
      <c r="F6" s="5" t="n">
        <v>-377</v>
      </c>
      <c r="G6" s="1" t="n">
        <v>-592</v>
      </c>
      <c r="H6" s="1" t="n">
        <v>349</v>
      </c>
      <c r="I6" s="5" t="n">
        <v>835</v>
      </c>
      <c r="J6" s="5" t="n">
        <v>1270</v>
      </c>
      <c r="K6" s="1" t="n">
        <v>1451</v>
      </c>
      <c r="L6" s="1" t="n">
        <v>6212</v>
      </c>
      <c r="M6" s="1" t="n">
        <v>3810</v>
      </c>
      <c r="N6" s="1" t="n">
        <v>4330</v>
      </c>
      <c r="O6" s="1" t="n">
        <v>4057</v>
      </c>
      <c r="P6" s="1" t="n">
        <v>2432</v>
      </c>
      <c r="Q6" s="1" t="n">
        <v>3445</v>
      </c>
      <c r="R6" s="1" t="n">
        <v>1577</v>
      </c>
      <c r="S6" s="5" t="n">
        <v>1700</v>
      </c>
      <c r="T6" s="5" t="n">
        <v>1200</v>
      </c>
      <c r="U6" s="5" t="n">
        <v>565</v>
      </c>
      <c r="V6" s="5" t="n">
        <v>437</v>
      </c>
      <c r="W6" s="5" t="n">
        <v>-530</v>
      </c>
      <c r="X6" s="5" t="n">
        <v>1300</v>
      </c>
      <c r="Y6" s="5" t="n">
        <v>1600</v>
      </c>
      <c r="AC6" s="1" t="n">
        <v>-1342</v>
      </c>
      <c r="AD6" s="1" t="n">
        <v>1862</v>
      </c>
      <c r="AE6" s="1" t="n">
        <v>15803</v>
      </c>
      <c r="AF6" s="1" t="n">
        <v>11511</v>
      </c>
    </row>
    <row r="7" s="4" customFormat="true" ht="12.75" hidden="false" customHeight="true" outlineLevel="0" collapsed="false">
      <c r="B7" s="4" t="s">
        <v>56</v>
      </c>
      <c r="C7" s="9" t="n">
        <v>198</v>
      </c>
      <c r="D7" s="9"/>
      <c r="E7" s="9" t="n">
        <v>184</v>
      </c>
      <c r="F7" s="9" t="n">
        <v>127</v>
      </c>
      <c r="G7" s="9" t="n">
        <v>203</v>
      </c>
      <c r="H7" s="9" t="n">
        <v>248</v>
      </c>
      <c r="I7" s="9" t="n">
        <v>108</v>
      </c>
      <c r="J7" s="9" t="n">
        <v>150</v>
      </c>
      <c r="K7" s="9" t="n">
        <v>149</v>
      </c>
      <c r="L7" s="9" t="n">
        <v>152</v>
      </c>
      <c r="M7" s="9" t="n">
        <v>212</v>
      </c>
      <c r="N7" s="9" t="n">
        <v>261</v>
      </c>
      <c r="O7" s="9" t="n">
        <v>205</v>
      </c>
      <c r="P7" s="9" t="n">
        <v>440</v>
      </c>
      <c r="Q7" s="9" t="n">
        <v>123</v>
      </c>
      <c r="R7" s="9" t="n">
        <v>84</v>
      </c>
      <c r="S7" s="9" t="n">
        <v>302</v>
      </c>
      <c r="T7" s="9" t="n">
        <v>112</v>
      </c>
      <c r="U7" s="9" t="n">
        <v>35</v>
      </c>
      <c r="V7" s="9" t="n">
        <v>170</v>
      </c>
      <c r="W7" s="9" t="n">
        <v>-141</v>
      </c>
      <c r="X7" s="9" t="n">
        <v>-79</v>
      </c>
      <c r="Y7" s="9"/>
      <c r="AC7" s="4" t="n">
        <v>638</v>
      </c>
      <c r="AD7" s="4" t="n">
        <v>709</v>
      </c>
      <c r="AE7" s="1" t="n">
        <v>774</v>
      </c>
      <c r="AF7" s="1" t="n">
        <v>852</v>
      </c>
    </row>
    <row r="8" s="4" customFormat="true" ht="12.75" hidden="false" customHeight="true" outlineLevel="0" collapsed="false">
      <c r="B8" s="4" t="s">
        <v>57</v>
      </c>
      <c r="C8" s="9" t="n">
        <v>-197</v>
      </c>
      <c r="D8" s="9"/>
      <c r="E8" s="9" t="n">
        <v>22</v>
      </c>
      <c r="F8" s="9" t="n">
        <v>15</v>
      </c>
      <c r="G8" s="9" t="n">
        <v>-56</v>
      </c>
      <c r="H8" s="9" t="n">
        <v>99</v>
      </c>
      <c r="I8" s="9" t="n">
        <v>-44</v>
      </c>
      <c r="J8" s="9" t="n">
        <v>474</v>
      </c>
      <c r="K8" s="9" t="n">
        <v>1</v>
      </c>
      <c r="L8" s="9" t="n">
        <v>101</v>
      </c>
      <c r="M8" s="9" t="n">
        <v>1</v>
      </c>
      <c r="N8" s="9" t="n">
        <v>7</v>
      </c>
      <c r="O8" s="9" t="n">
        <v>39</v>
      </c>
      <c r="P8" s="9" t="n">
        <v>127</v>
      </c>
      <c r="Q8" s="9" t="n">
        <v>197</v>
      </c>
      <c r="R8" s="9" t="n">
        <v>190</v>
      </c>
      <c r="S8" s="9" t="n">
        <v>10</v>
      </c>
      <c r="T8" s="9" t="n">
        <v>105</v>
      </c>
      <c r="U8" s="9" t="n">
        <v>153</v>
      </c>
      <c r="V8" s="9"/>
      <c r="W8" s="9" t="n">
        <v>20</v>
      </c>
      <c r="X8" s="9" t="n">
        <v>54</v>
      </c>
      <c r="Y8" s="9"/>
      <c r="AC8" s="4" t="n">
        <v>-69</v>
      </c>
      <c r="AD8" s="4" t="n">
        <v>473</v>
      </c>
      <c r="AE8" s="1" t="n">
        <v>110</v>
      </c>
      <c r="AF8" s="1" t="n">
        <v>553</v>
      </c>
    </row>
    <row r="9" s="4" customFormat="true" ht="12.75" hidden="false" customHeight="true" outlineLevel="0" collapsed="false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="4" customFormat="true" ht="12.75" hidden="false" customHeight="true" outlineLevel="0" collapsed="false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="4" customFormat="true" ht="12.75" hidden="false" customHeight="true" outlineLevel="0" collapsed="false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="4" customFormat="true" ht="12.75" hidden="false" customHeight="true" outlineLevel="0" collapsed="false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="4" customFormat="true" ht="12.75" hidden="false" customHeight="true" outlineLevel="0" collapsed="false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="4" customFormat="true" ht="12.75" hidden="false" customHeight="true" outlineLevel="0" collapsed="false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6" s="4" customFormat="true" ht="12.75" hidden="false" customHeight="true" outlineLevel="0" collapsed="false">
      <c r="B16" s="4" t="s">
        <v>58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="4" customFormat="true" ht="12.75" hidden="false" customHeight="true" outlineLevel="0" collapsed="false">
      <c r="B17" s="4" t="s">
        <v>59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="4" customFormat="true" ht="12.75" hidden="false" customHeight="true" outlineLevel="0" collapsed="false">
      <c r="B18" s="4" t="s">
        <v>60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="10" customFormat="true" ht="12.75" hidden="false" customHeight="true" outlineLevel="0" collapsed="false">
      <c r="B19" s="10" t="s">
        <v>61</v>
      </c>
      <c r="C19" s="11" t="n">
        <v>22102</v>
      </c>
      <c r="D19" s="11" t="n">
        <v>10397</v>
      </c>
      <c r="E19" s="11" t="n">
        <v>15809</v>
      </c>
      <c r="F19" s="11" t="n">
        <v>16604</v>
      </c>
      <c r="G19" s="11" t="n">
        <v>20806</v>
      </c>
      <c r="H19" s="11" t="n">
        <v>27748</v>
      </c>
      <c r="I19" s="11" t="n">
        <v>29520</v>
      </c>
      <c r="J19" s="11" t="n">
        <v>35903</v>
      </c>
      <c r="K19" s="11" t="n">
        <v>38542</v>
      </c>
      <c r="L19" s="11" t="n">
        <v>51641</v>
      </c>
      <c r="M19" s="11" t="n">
        <v>44454</v>
      </c>
      <c r="N19" s="11" t="n">
        <v>41746</v>
      </c>
      <c r="O19" s="11" t="n">
        <v>36439</v>
      </c>
      <c r="P19" s="11" t="n">
        <v>34509</v>
      </c>
      <c r="Q19" s="11" t="n">
        <v>38404</v>
      </c>
      <c r="R19" s="11" t="n">
        <v>35414</v>
      </c>
      <c r="S19" s="11" t="n">
        <v>31759</v>
      </c>
      <c r="T19" s="11" t="n">
        <v>34490</v>
      </c>
      <c r="U19" s="11" t="n">
        <v>32876</v>
      </c>
      <c r="V19" s="11" t="n">
        <v>30756</v>
      </c>
      <c r="W19" s="11" t="n">
        <v>30258</v>
      </c>
      <c r="X19" s="11" t="n">
        <v>29889</v>
      </c>
      <c r="Y19" s="11" t="n">
        <v>32168</v>
      </c>
      <c r="AB19" s="11"/>
      <c r="AC19" s="11" t="n">
        <v>64912</v>
      </c>
      <c r="AD19" s="11" t="n">
        <v>113977</v>
      </c>
      <c r="AE19" s="11" t="n">
        <v>176383</v>
      </c>
      <c r="AF19" s="11" t="n">
        <v>144766</v>
      </c>
      <c r="AG19" s="11"/>
      <c r="AH19" s="11"/>
      <c r="AI19" s="11"/>
      <c r="AJ19" s="11"/>
      <c r="AK19" s="11"/>
      <c r="AL19" s="11"/>
      <c r="AM19" s="11"/>
    </row>
    <row r="20" s="4" customFormat="true" ht="12.75" hidden="false" customHeight="true" outlineLevel="0" collapsed="false">
      <c r="B20" s="4" t="s">
        <v>62</v>
      </c>
      <c r="C20" s="9" t="n">
        <v>22494</v>
      </c>
      <c r="D20" s="9" t="n">
        <v>6831</v>
      </c>
      <c r="E20" s="9" t="n">
        <v>14488</v>
      </c>
      <c r="F20" s="9" t="n">
        <v>15101</v>
      </c>
      <c r="G20" s="9" t="n">
        <v>18992</v>
      </c>
      <c r="H20" s="9" t="n">
        <v>25249</v>
      </c>
      <c r="I20" s="9" t="n">
        <v>26624</v>
      </c>
      <c r="J20" s="9" t="n">
        <v>31849</v>
      </c>
      <c r="K20" s="9" t="n">
        <v>34949</v>
      </c>
      <c r="L20" s="9" t="n">
        <v>42946</v>
      </c>
      <c r="M20" s="9" t="n">
        <v>38064</v>
      </c>
      <c r="N20" s="9" t="n">
        <v>34811</v>
      </c>
      <c r="O20" s="9" t="n">
        <v>30005</v>
      </c>
      <c r="P20" s="9" t="n">
        <v>29430</v>
      </c>
      <c r="Q20" s="9" t="n">
        <v>32385</v>
      </c>
      <c r="R20" s="9" t="n">
        <v>31267</v>
      </c>
      <c r="S20" s="9" t="n">
        <v>26611</v>
      </c>
      <c r="T20" s="9" t="n">
        <v>30943</v>
      </c>
      <c r="U20" s="9" t="n">
        <v>29965</v>
      </c>
      <c r="V20" s="9"/>
      <c r="W20" s="9" t="n">
        <v>26048</v>
      </c>
      <c r="X20" s="9" t="n">
        <v>27832</v>
      </c>
      <c r="Y20" s="9" t="n">
        <v>27958</v>
      </c>
      <c r="AC20" s="4" t="n">
        <v>58933</v>
      </c>
      <c r="AD20" s="4" t="n">
        <v>102714</v>
      </c>
      <c r="AE20" s="1" t="n">
        <v>150770</v>
      </c>
      <c r="AF20" s="1" t="n">
        <v>123087</v>
      </c>
    </row>
    <row r="21" s="4" customFormat="true" ht="12.75" hidden="false" customHeight="true" outlineLevel="0" collapsed="false">
      <c r="B21" s="4" t="s">
        <v>63</v>
      </c>
      <c r="C21" s="9" t="n">
        <f aca="false">+C19-C20</f>
        <v>-392</v>
      </c>
      <c r="D21" s="9"/>
      <c r="E21" s="9" t="n">
        <f aca="false">+E19-E20</f>
        <v>1321</v>
      </c>
      <c r="F21" s="9" t="n">
        <f aca="false">+F19-F20</f>
        <v>1503</v>
      </c>
      <c r="G21" s="9" t="n">
        <f aca="false">+G19-G20</f>
        <v>1814</v>
      </c>
      <c r="H21" s="9"/>
      <c r="I21" s="9" t="n">
        <f aca="false">+I19-I20</f>
        <v>2896</v>
      </c>
      <c r="J21" s="9" t="n">
        <f aca="false">+J19-J20</f>
        <v>4054</v>
      </c>
      <c r="K21" s="9" t="n">
        <f aca="false">+K19-K20</f>
        <v>3593</v>
      </c>
      <c r="L21" s="9" t="n">
        <f aca="false">+L19-L20</f>
        <v>8695</v>
      </c>
      <c r="M21" s="9" t="n">
        <f aca="false">+M19-M20</f>
        <v>6390</v>
      </c>
      <c r="N21" s="9" t="n">
        <f aca="false">+N19-N20</f>
        <v>6935</v>
      </c>
      <c r="O21" s="9" t="n">
        <f aca="false">+O19-O20</f>
        <v>6434</v>
      </c>
      <c r="P21" s="9" t="n">
        <f aca="false">+P19-P20</f>
        <v>5079</v>
      </c>
      <c r="Q21" s="9" t="n">
        <f aca="false">+Q19-Q20</f>
        <v>6019</v>
      </c>
      <c r="R21" s="9" t="n">
        <f aca="false">+R19-R20</f>
        <v>4147</v>
      </c>
      <c r="S21" s="9"/>
      <c r="T21" s="9"/>
      <c r="U21" s="9"/>
      <c r="V21" s="9"/>
      <c r="W21" s="9"/>
      <c r="X21" s="9"/>
      <c r="Y21" s="9"/>
    </row>
    <row r="22" s="4" customFormat="true" ht="12.75" hidden="false" customHeight="true" outlineLevel="0" collapsed="false">
      <c r="B22" s="4" t="s">
        <v>64</v>
      </c>
      <c r="C22" s="9" t="n">
        <v>1124</v>
      </c>
      <c r="D22" s="9" t="n">
        <v>1027</v>
      </c>
      <c r="E22" s="9" t="n">
        <v>1117</v>
      </c>
      <c r="F22" s="9" t="n">
        <v>1167</v>
      </c>
      <c r="G22" s="9" t="n">
        <v>1656</v>
      </c>
      <c r="H22" s="9" t="n">
        <v>1214</v>
      </c>
      <c r="I22" s="9" t="n">
        <v>1348</v>
      </c>
      <c r="J22" s="9" t="n">
        <v>1558</v>
      </c>
      <c r="K22" s="9" t="n">
        <v>1379</v>
      </c>
      <c r="L22" s="9" t="n">
        <v>1626</v>
      </c>
      <c r="M22" s="9" t="n">
        <v>1746</v>
      </c>
      <c r="N22" s="9" t="n">
        <v>1638</v>
      </c>
      <c r="O22" s="9" t="n">
        <v>1477</v>
      </c>
      <c r="P22" s="9" t="n">
        <v>1440</v>
      </c>
      <c r="Q22" s="9" t="n">
        <v>1578</v>
      </c>
      <c r="R22" s="9" t="n">
        <v>1594</v>
      </c>
      <c r="S22" s="9" t="n">
        <v>1411</v>
      </c>
      <c r="T22" s="9" t="n">
        <v>1424</v>
      </c>
      <c r="U22" s="9" t="n">
        <v>1482</v>
      </c>
      <c r="V22" s="9"/>
      <c r="W22" s="9" t="n">
        <v>1523</v>
      </c>
      <c r="X22" s="9" t="n">
        <v>1522</v>
      </c>
      <c r="Y22" s="9" t="n">
        <v>1614</v>
      </c>
      <c r="AC22" s="4" t="n">
        <v>4435</v>
      </c>
      <c r="AD22" s="4" t="n">
        <v>5776</v>
      </c>
      <c r="AE22" s="1" t="n">
        <v>6389</v>
      </c>
      <c r="AF22" s="1" t="n">
        <v>6089</v>
      </c>
    </row>
    <row r="23" s="4" customFormat="true" ht="12.75" hidden="false" customHeight="true" outlineLevel="0" collapsed="false">
      <c r="B23" s="4" t="s">
        <v>65</v>
      </c>
      <c r="C23" s="9" t="n">
        <v>582</v>
      </c>
      <c r="D23" s="9" t="n">
        <v>578</v>
      </c>
      <c r="E23" s="9" t="n">
        <v>614</v>
      </c>
      <c r="F23" s="9" t="n">
        <v>577</v>
      </c>
      <c r="G23" s="9" t="n">
        <v>578</v>
      </c>
      <c r="H23" s="9" t="n">
        <v>588</v>
      </c>
      <c r="I23" s="9" t="n">
        <v>641</v>
      </c>
      <c r="J23" s="9" t="n">
        <v>598</v>
      </c>
      <c r="K23" s="9" t="n">
        <v>606</v>
      </c>
      <c r="L23" s="9" t="n">
        <v>602</v>
      </c>
      <c r="M23" s="9" t="n">
        <v>632</v>
      </c>
      <c r="N23" s="9" t="n">
        <v>633</v>
      </c>
      <c r="O23" s="9" t="n">
        <v>660</v>
      </c>
      <c r="P23" s="9" t="n">
        <v>669</v>
      </c>
      <c r="Q23" s="9" t="n">
        <v>682</v>
      </c>
      <c r="R23" s="9" t="n">
        <v>690</v>
      </c>
      <c r="S23" s="9" t="n">
        <v>683</v>
      </c>
      <c r="T23" s="9" t="n">
        <v>696</v>
      </c>
      <c r="U23" s="9" t="n">
        <v>685</v>
      </c>
      <c r="V23" s="9"/>
      <c r="W23" s="9" t="n">
        <v>691</v>
      </c>
      <c r="X23" s="9" t="n">
        <v>814</v>
      </c>
      <c r="Y23" s="9" t="n">
        <v>836</v>
      </c>
      <c r="AC23" s="4" t="n">
        <v>2351</v>
      </c>
      <c r="AD23" s="4" t="n">
        <v>2405</v>
      </c>
      <c r="AE23" s="1" t="n">
        <v>2473</v>
      </c>
      <c r="AF23" s="1" t="n">
        <v>2701</v>
      </c>
    </row>
    <row r="24" s="4" customFormat="true" ht="12.75" hidden="false" customHeight="true" outlineLevel="0" collapsed="false">
      <c r="B24" s="4" t="s">
        <v>66</v>
      </c>
      <c r="C24" s="9" t="n">
        <v>177</v>
      </c>
      <c r="D24" s="9" t="n">
        <v>169</v>
      </c>
      <c r="E24" s="9" t="n">
        <v>186</v>
      </c>
      <c r="F24" s="9" t="n">
        <v>224</v>
      </c>
      <c r="G24" s="9" t="n">
        <v>208</v>
      </c>
      <c r="H24" s="9" t="n">
        <v>176</v>
      </c>
      <c r="I24" s="9" t="n">
        <v>195</v>
      </c>
      <c r="J24" s="9" t="n">
        <v>286</v>
      </c>
      <c r="K24" s="9" t="n">
        <v>205</v>
      </c>
      <c r="L24" s="9" t="n">
        <v>233</v>
      </c>
      <c r="M24" s="9" t="n">
        <v>214</v>
      </c>
      <c r="N24" s="9" t="n">
        <v>282</v>
      </c>
      <c r="O24" s="9" t="n">
        <v>244</v>
      </c>
      <c r="P24" s="9" t="n">
        <v>209</v>
      </c>
      <c r="Q24" s="9" t="n">
        <v>250</v>
      </c>
      <c r="R24" s="9" t="n">
        <v>295</v>
      </c>
      <c r="S24" s="9" t="n">
        <v>258</v>
      </c>
      <c r="T24" s="9" t="n">
        <v>203</v>
      </c>
      <c r="U24" s="9" t="n">
        <v>234</v>
      </c>
      <c r="V24" s="9"/>
      <c r="W24" s="9" t="n">
        <v>261</v>
      </c>
      <c r="X24" s="9" t="n">
        <v>220</v>
      </c>
      <c r="Y24" s="9" t="n">
        <v>246</v>
      </c>
      <c r="AC24" s="4" t="n">
        <v>756</v>
      </c>
      <c r="AD24" s="4" t="n">
        <v>865</v>
      </c>
      <c r="AE24" s="1" t="n">
        <v>934</v>
      </c>
      <c r="AF24" s="1" t="n">
        <v>998</v>
      </c>
    </row>
    <row r="25" s="4" customFormat="true" ht="12.75" hidden="false" customHeight="true" outlineLevel="0" collapsed="false">
      <c r="B25" s="4" t="s">
        <v>67</v>
      </c>
      <c r="C25" s="9" t="n">
        <f aca="false">+C22+C23+C24</f>
        <v>1883</v>
      </c>
      <c r="D25" s="9"/>
      <c r="E25" s="9" t="n">
        <f aca="false">+E22+E23+E24</f>
        <v>1917</v>
      </c>
      <c r="F25" s="9" t="n">
        <f aca="false">+F22+F23+F24</f>
        <v>1968</v>
      </c>
      <c r="G25" s="9" t="n">
        <f aca="false">+G22+G23+G24</f>
        <v>2442</v>
      </c>
      <c r="H25" s="9"/>
      <c r="I25" s="9" t="n">
        <f aca="false">+I22+I23+I24</f>
        <v>2184</v>
      </c>
      <c r="J25" s="9" t="n">
        <f aca="false">+J22+J23+J24</f>
        <v>2442</v>
      </c>
      <c r="K25" s="9" t="n">
        <f aca="false">+K22+K23+K24</f>
        <v>2190</v>
      </c>
      <c r="L25" s="9" t="n">
        <f aca="false">+L22+L23+L24</f>
        <v>2461</v>
      </c>
      <c r="M25" s="9" t="n">
        <f aca="false">+M22+M23+M24</f>
        <v>2592</v>
      </c>
      <c r="N25" s="9" t="n">
        <f aca="false">+N22+N23+N24</f>
        <v>2553</v>
      </c>
      <c r="O25" s="9" t="n">
        <f aca="false">+O22+O23+O24</f>
        <v>2381</v>
      </c>
      <c r="P25" s="9" t="n">
        <f aca="false">+P22+P23+P24</f>
        <v>2318</v>
      </c>
      <c r="Q25" s="9" t="n">
        <f aca="false">+Q22+Q23+Q24</f>
        <v>2510</v>
      </c>
      <c r="R25" s="9" t="n">
        <f aca="false">+R22+R23+R24</f>
        <v>2579</v>
      </c>
      <c r="S25" s="9"/>
      <c r="T25" s="9"/>
      <c r="U25" s="9"/>
      <c r="V25" s="9"/>
      <c r="W25" s="9"/>
      <c r="X25" s="9"/>
      <c r="Y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s="4" customFormat="true" ht="12.75" hidden="false" customHeight="true" outlineLevel="0" collapsed="false">
      <c r="B26" s="4" t="s">
        <v>68</v>
      </c>
      <c r="C26" s="9" t="n">
        <v>-2277</v>
      </c>
      <c r="D26" s="9" t="n">
        <v>1789</v>
      </c>
      <c r="E26" s="9" t="n">
        <v>-621</v>
      </c>
      <c r="F26" s="9" t="n">
        <v>-470</v>
      </c>
      <c r="G26" s="9" t="n">
        <v>-666</v>
      </c>
      <c r="H26" s="9" t="n">
        <v>509</v>
      </c>
      <c r="I26" s="9" t="n">
        <v>693</v>
      </c>
      <c r="J26" s="9" t="n">
        <v>1594</v>
      </c>
      <c r="K26" s="9" t="n">
        <v>1384</v>
      </c>
      <c r="L26" s="9" t="n">
        <v>6219</v>
      </c>
      <c r="M26" s="9" t="n">
        <v>3792</v>
      </c>
      <c r="N26" s="9" t="n">
        <v>4295</v>
      </c>
      <c r="O26" s="9" t="n">
        <v>4043</v>
      </c>
      <c r="P26" s="9" t="n">
        <v>2759</v>
      </c>
      <c r="Q26" s="9" t="n">
        <v>3503</v>
      </c>
      <c r="R26" s="9" t="n">
        <v>1553</v>
      </c>
      <c r="S26" s="9" t="n">
        <v>1983</v>
      </c>
      <c r="T26" s="9" t="n">
        <v>1221</v>
      </c>
      <c r="U26" s="9" t="n">
        <v>507</v>
      </c>
      <c r="V26" s="9"/>
      <c r="W26" s="9" t="n">
        <v>-900</v>
      </c>
      <c r="X26" s="9" t="n">
        <v>997</v>
      </c>
      <c r="Y26" s="9" t="n">
        <v>1509</v>
      </c>
      <c r="AB26" s="9"/>
      <c r="AC26" s="9" t="n">
        <v>-1579</v>
      </c>
      <c r="AD26" s="9" t="n">
        <v>2130</v>
      </c>
      <c r="AE26" s="9" t="n">
        <v>15690</v>
      </c>
      <c r="AF26" s="9" t="n">
        <v>11858</v>
      </c>
      <c r="AG26" s="9"/>
      <c r="AH26" s="9"/>
      <c r="AI26" s="9"/>
      <c r="AJ26" s="9"/>
      <c r="AK26" s="9"/>
      <c r="AL26" s="9"/>
      <c r="AM26" s="9"/>
    </row>
    <row r="27" customFormat="false" ht="12.75" hidden="false" customHeight="true" outlineLevel="0" collapsed="false">
      <c r="B27" s="4" t="s">
        <v>69</v>
      </c>
      <c r="C27" s="1" t="n">
        <v>-125</v>
      </c>
      <c r="D27" s="1" t="n">
        <v>-142</v>
      </c>
      <c r="E27" s="5" t="n">
        <v>-143</v>
      </c>
      <c r="F27" s="5" t="n">
        <v>-153</v>
      </c>
      <c r="G27" s="1" t="n">
        <v>-149</v>
      </c>
      <c r="H27" s="1" t="n">
        <v>-150</v>
      </c>
      <c r="I27" s="5" t="n">
        <v>-152</v>
      </c>
      <c r="J27" s="5" t="n">
        <v>-152</v>
      </c>
      <c r="K27" s="1" t="n">
        <v>-145</v>
      </c>
      <c r="L27" s="1" t="n">
        <v>-142</v>
      </c>
      <c r="M27" s="1" t="n">
        <v>-138</v>
      </c>
      <c r="N27" s="1" t="n">
        <v>-137</v>
      </c>
      <c r="O27" s="1" t="n">
        <v>-146</v>
      </c>
      <c r="P27" s="1" t="n">
        <v>-148</v>
      </c>
      <c r="Q27" s="1" t="n">
        <v>-149</v>
      </c>
      <c r="R27" s="1" t="n">
        <v>-149</v>
      </c>
      <c r="T27" s="5" t="n">
        <v>-140</v>
      </c>
      <c r="U27" s="5" t="n">
        <v>-141</v>
      </c>
      <c r="W27" s="1" t="n">
        <v>-137</v>
      </c>
      <c r="X27" s="1" t="n">
        <v>-141</v>
      </c>
      <c r="Y27" s="1" t="n">
        <v>-139</v>
      </c>
      <c r="AB27" s="4"/>
      <c r="AC27" s="4" t="n">
        <v>-563</v>
      </c>
      <c r="AD27" s="4" t="n">
        <v>-603</v>
      </c>
      <c r="AE27" s="4" t="n">
        <v>-562</v>
      </c>
      <c r="AF27" s="4" t="n">
        <v>-592</v>
      </c>
      <c r="AG27" s="4"/>
      <c r="AH27" s="4"/>
      <c r="AI27" s="4"/>
      <c r="AJ27" s="4"/>
      <c r="AK27" s="4"/>
      <c r="AL27" s="4"/>
      <c r="AM27" s="4"/>
    </row>
    <row r="28" customFormat="false" ht="12.75" hidden="false" customHeight="true" outlineLevel="0" collapsed="false">
      <c r="B28" s="4" t="s">
        <v>70</v>
      </c>
      <c r="C28" s="1" t="n">
        <v>-2370</v>
      </c>
      <c r="D28" s="1" t="n">
        <v>1674</v>
      </c>
      <c r="E28" s="5" t="n">
        <v>-716</v>
      </c>
      <c r="F28" s="9" t="n">
        <v>-598</v>
      </c>
      <c r="G28" s="9" t="n">
        <v>-770</v>
      </c>
      <c r="H28" s="9" t="n">
        <v>461</v>
      </c>
      <c r="I28" s="9" t="n">
        <v>573</v>
      </c>
      <c r="J28" s="9" t="n">
        <v>1279</v>
      </c>
      <c r="K28" s="9" t="n">
        <v>1219</v>
      </c>
      <c r="L28" s="9" t="n">
        <v>6110</v>
      </c>
      <c r="M28" s="9" t="n">
        <v>3728</v>
      </c>
      <c r="N28" s="9" t="n">
        <v>4250</v>
      </c>
      <c r="O28" s="9" t="n">
        <v>4026</v>
      </c>
      <c r="P28" s="9" t="n">
        <v>2717</v>
      </c>
      <c r="Q28" s="9" t="n">
        <v>3476</v>
      </c>
      <c r="R28" s="9" t="n">
        <v>1549</v>
      </c>
      <c r="S28" s="9"/>
      <c r="T28" s="9" t="n">
        <v>1203</v>
      </c>
      <c r="U28" s="9" t="n">
        <v>489</v>
      </c>
      <c r="V28" s="9"/>
      <c r="W28" s="9" t="n">
        <v>-917</v>
      </c>
      <c r="X28" s="9" t="n">
        <v>942</v>
      </c>
      <c r="Y28" s="9" t="n">
        <v>1456</v>
      </c>
      <c r="AB28" s="9"/>
      <c r="AC28" s="9" t="n">
        <v>-2010</v>
      </c>
      <c r="AD28" s="9" t="n">
        <v>1543</v>
      </c>
      <c r="AE28" s="9" t="n">
        <v>15307</v>
      </c>
      <c r="AF28" s="9" t="n">
        <v>11768</v>
      </c>
      <c r="AG28" s="9"/>
      <c r="AH28" s="9"/>
      <c r="AI28" s="9"/>
      <c r="AJ28" s="9"/>
      <c r="AK28" s="9"/>
      <c r="AL28" s="9"/>
      <c r="AM28" s="9"/>
    </row>
    <row r="29" s="4" customFormat="true" ht="12.75" hidden="false" customHeight="true" outlineLevel="0" collapsed="false">
      <c r="B29" s="4" t="s">
        <v>71</v>
      </c>
      <c r="C29" s="9" t="n">
        <v>-616</v>
      </c>
      <c r="D29" s="9" t="n">
        <v>339</v>
      </c>
      <c r="E29" s="9" t="n">
        <v>-337</v>
      </c>
      <c r="F29" s="9" t="n">
        <v>-289</v>
      </c>
      <c r="G29" s="9" t="n">
        <v>-148</v>
      </c>
      <c r="H29" s="9" t="n">
        <v>169</v>
      </c>
      <c r="I29" s="9" t="n">
        <v>65</v>
      </c>
      <c r="J29" s="9" t="n">
        <v>169</v>
      </c>
      <c r="K29" s="9" t="n">
        <v>252</v>
      </c>
      <c r="L29" s="9" t="n">
        <v>1342</v>
      </c>
      <c r="M29" s="9" t="n">
        <v>816</v>
      </c>
      <c r="N29" s="9" t="n">
        <v>1018</v>
      </c>
      <c r="O29" s="9" t="n">
        <v>880</v>
      </c>
      <c r="P29" s="9" t="n">
        <v>595</v>
      </c>
      <c r="Q29" s="9" t="n">
        <v>813</v>
      </c>
      <c r="R29" s="9" t="n">
        <v>331</v>
      </c>
      <c r="S29" s="9"/>
      <c r="T29" s="9" t="n">
        <v>277</v>
      </c>
      <c r="U29" s="9" t="n">
        <v>96</v>
      </c>
      <c r="V29" s="9"/>
      <c r="W29" s="9" t="n">
        <v>-265</v>
      </c>
      <c r="X29" s="9" t="n">
        <v>279</v>
      </c>
      <c r="Y29" s="9" t="n">
        <v>390</v>
      </c>
      <c r="AC29" s="4" t="n">
        <v>-903</v>
      </c>
      <c r="AD29" s="4" t="n">
        <v>255</v>
      </c>
      <c r="AE29" s="1" t="n">
        <v>3428</v>
      </c>
      <c r="AF29" s="1" t="n">
        <v>2619</v>
      </c>
    </row>
    <row r="30" customFormat="false" ht="12.75" hidden="false" customHeight="true" outlineLevel="0" collapsed="false">
      <c r="B30" s="4" t="s">
        <v>72</v>
      </c>
      <c r="C30" s="1" t="n">
        <v>-1851</v>
      </c>
      <c r="D30" s="1" t="n">
        <v>1253</v>
      </c>
      <c r="E30" s="5" t="n">
        <v>-464</v>
      </c>
      <c r="F30" s="9" t="n">
        <v>-359</v>
      </c>
      <c r="G30" s="9" t="n">
        <v>-704</v>
      </c>
      <c r="H30" s="9" t="n">
        <v>162</v>
      </c>
      <c r="I30" s="9" t="n">
        <v>463</v>
      </c>
      <c r="J30" s="9" t="n">
        <v>1009</v>
      </c>
      <c r="K30" s="9" t="n">
        <v>905</v>
      </c>
      <c r="L30" s="9" t="n">
        <v>4693</v>
      </c>
      <c r="M30" s="9" t="n">
        <v>2817</v>
      </c>
      <c r="N30" s="9" t="n">
        <v>3113</v>
      </c>
      <c r="O30" s="9" t="n">
        <v>3067</v>
      </c>
      <c r="P30" s="9" t="n">
        <v>1944</v>
      </c>
      <c r="Q30" s="9" t="n">
        <v>2622</v>
      </c>
      <c r="R30" s="9" t="n">
        <v>1202</v>
      </c>
      <c r="S30" s="9" t="n">
        <v>1252</v>
      </c>
      <c r="T30" s="9" t="n">
        <v>880</v>
      </c>
      <c r="U30" s="9" t="n">
        <v>364</v>
      </c>
      <c r="V30" s="9" t="n">
        <v>281</v>
      </c>
      <c r="W30" s="9" t="n">
        <v>-595</v>
      </c>
      <c r="X30" s="9" t="n">
        <v>714</v>
      </c>
      <c r="Y30" s="9" t="n">
        <v>1095</v>
      </c>
      <c r="Z30" s="1" t="n">
        <v>1100</v>
      </c>
      <c r="AB30" s="4"/>
      <c r="AC30" s="4" t="n">
        <v>-1421</v>
      </c>
      <c r="AD30" s="4" t="n">
        <v>930</v>
      </c>
      <c r="AE30" s="4" t="n">
        <v>11528</v>
      </c>
      <c r="AF30" s="4" t="n">
        <v>8835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</row>
    <row r="31" customFormat="false" ht="12.75" hidden="false" customHeight="true" outlineLevel="0" collapsed="false">
      <c r="B31" s="4" t="s">
        <v>73</v>
      </c>
      <c r="C31" s="1" t="n">
        <v>-4.54</v>
      </c>
      <c r="D31" s="1" t="n">
        <v>3.07</v>
      </c>
      <c r="E31" s="5" t="n">
        <v>-1.14</v>
      </c>
      <c r="F31" s="12" t="n">
        <v>-0.88</v>
      </c>
      <c r="G31" s="12" t="n">
        <v>-1.73</v>
      </c>
      <c r="H31" s="12" t="n">
        <v>0.39</v>
      </c>
      <c r="I31" s="12" t="n">
        <v>1.13</v>
      </c>
      <c r="J31" s="12" t="n">
        <v>2.46</v>
      </c>
      <c r="K31" s="12" t="n">
        <v>2.21</v>
      </c>
      <c r="L31" s="12" t="n">
        <v>11.57</v>
      </c>
      <c r="M31" s="12" t="n">
        <v>7.19</v>
      </c>
      <c r="N31" s="12" t="n">
        <v>8.15</v>
      </c>
      <c r="O31" s="12" t="n">
        <v>8.29</v>
      </c>
      <c r="P31" s="12" t="n">
        <v>5.4</v>
      </c>
      <c r="Q31" s="12" t="n">
        <v>7.49</v>
      </c>
      <c r="R31" s="12" t="n">
        <v>3.55</v>
      </c>
      <c r="S31" s="12" t="n">
        <v>3.75</v>
      </c>
      <c r="T31" s="12" t="n">
        <v>2.71</v>
      </c>
      <c r="U31" s="12" t="n">
        <v>1.14</v>
      </c>
      <c r="V31" s="12" t="n">
        <v>0.88</v>
      </c>
      <c r="W31" s="12" t="n">
        <v>-1.9</v>
      </c>
      <c r="X31" s="12" t="n">
        <v>2.28</v>
      </c>
      <c r="Y31" s="12" t="n">
        <v>3.53</v>
      </c>
      <c r="Z31" s="1" t="n">
        <v>3.73</v>
      </c>
      <c r="AB31" s="3"/>
      <c r="AC31" s="3" t="n">
        <v>-3.5</v>
      </c>
      <c r="AD31" s="3" t="n">
        <v>2.27</v>
      </c>
      <c r="AE31" s="3" t="n">
        <v>29.04</v>
      </c>
      <c r="AF31" s="3" t="n">
        <v>24.92</v>
      </c>
      <c r="AG31" s="3"/>
      <c r="AH31" s="3"/>
      <c r="AI31" s="3"/>
      <c r="AJ31" s="3"/>
      <c r="AK31" s="3"/>
      <c r="AL31" s="3"/>
      <c r="AM31" s="3"/>
    </row>
    <row r="32" s="4" customFormat="true" ht="12.75" hidden="false" customHeight="true" outlineLevel="0" collapsed="false">
      <c r="B32" s="4" t="s">
        <v>5</v>
      </c>
      <c r="C32" s="9" t="n">
        <v>408</v>
      </c>
      <c r="D32" s="9" t="n">
        <v>406</v>
      </c>
      <c r="E32" s="9" t="n">
        <v>407</v>
      </c>
      <c r="F32" s="9" t="n">
        <v>407</v>
      </c>
      <c r="G32" s="9" t="n">
        <v>407</v>
      </c>
      <c r="H32" s="9" t="n">
        <v>407</v>
      </c>
      <c r="I32" s="9" t="n">
        <v>407</v>
      </c>
      <c r="J32" s="9" t="n">
        <v>408</v>
      </c>
      <c r="K32" s="9" t="n">
        <v>408</v>
      </c>
      <c r="L32" s="9" t="n">
        <v>404</v>
      </c>
      <c r="M32" s="9" t="n">
        <v>390</v>
      </c>
      <c r="N32" s="9" t="n">
        <v>380</v>
      </c>
      <c r="O32" s="9" t="n">
        <v>369</v>
      </c>
      <c r="P32" s="9" t="n">
        <v>358</v>
      </c>
      <c r="Q32" s="9" t="n">
        <v>349</v>
      </c>
      <c r="R32" s="9" t="n">
        <v>337</v>
      </c>
      <c r="S32" s="9" t="n">
        <v>328</v>
      </c>
      <c r="T32" s="9" t="n">
        <v>324</v>
      </c>
      <c r="U32" s="9" t="n">
        <v>318</v>
      </c>
      <c r="V32" s="9" t="n">
        <v>306</v>
      </c>
      <c r="W32" s="9" t="n">
        <v>306</v>
      </c>
      <c r="X32" s="9" t="n">
        <v>305</v>
      </c>
      <c r="Y32" s="9" t="n">
        <v>309</v>
      </c>
      <c r="Z32" s="4" t="n">
        <v>294</v>
      </c>
      <c r="AC32" s="4" t="n">
        <v>407</v>
      </c>
      <c r="AD32" s="4" t="n">
        <v>407</v>
      </c>
      <c r="AE32" s="1" t="n">
        <v>395</v>
      </c>
      <c r="AF32" s="1" t="n">
        <v>353</v>
      </c>
    </row>
    <row r="34" s="13" customFormat="true" ht="12.75" hidden="false" customHeight="true" outlineLevel="0" collapsed="false">
      <c r="B34" s="10" t="s">
        <v>74</v>
      </c>
      <c r="C34" s="14"/>
      <c r="D34" s="14"/>
      <c r="E34" s="14"/>
      <c r="F34" s="14"/>
      <c r="G34" s="14"/>
      <c r="H34" s="14"/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P34" s="16"/>
    </row>
    <row r="35" customFormat="false" ht="12.75" hidden="false" customHeight="true" outlineLevel="0" collapsed="false">
      <c r="B35" s="4" t="s">
        <v>75</v>
      </c>
      <c r="J35" s="17"/>
      <c r="K35" s="17"/>
      <c r="L35" s="17"/>
      <c r="M35" s="17"/>
      <c r="N35" s="17"/>
      <c r="AP35" s="18"/>
    </row>
    <row r="36" s="13" customFormat="true" ht="12.75" hidden="false" customHeight="true" outlineLevel="0" collapsed="false">
      <c r="B36" s="10"/>
      <c r="C36" s="14"/>
      <c r="D36" s="14"/>
      <c r="E36" s="14"/>
      <c r="F36" s="14"/>
      <c r="G36" s="14"/>
      <c r="H36" s="14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4"/>
      <c r="X36" s="14"/>
      <c r="Y36" s="14"/>
      <c r="AP36" s="19"/>
    </row>
    <row r="37" customFormat="false" ht="12.75" hidden="false" customHeight="true" outlineLevel="0" collapsed="false">
      <c r="B37" s="4" t="s">
        <v>76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O37" s="13"/>
      <c r="AP37" s="10"/>
    </row>
    <row r="38" customFormat="false" ht="12.75" hidden="false" customHeight="true" outlineLevel="0" collapsed="false">
      <c r="B38" s="4" t="s">
        <v>77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40" s="4" customFormat="true" ht="12.75" hidden="false" customHeight="true" outlineLevel="0" collapsed="false">
      <c r="B40" s="4" t="s">
        <v>78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="4" customFormat="true" ht="12.75" hidden="false" customHeight="true" outlineLevel="0" collapsed="false">
      <c r="B41" s="4" t="s">
        <v>10</v>
      </c>
      <c r="C41" s="9"/>
      <c r="D41" s="9"/>
      <c r="E41" s="9"/>
      <c r="F41" s="9" t="n">
        <v>3313</v>
      </c>
      <c r="G41" s="9" t="n">
        <v>2254</v>
      </c>
      <c r="H41" s="9" t="n">
        <v>3572</v>
      </c>
      <c r="I41" s="9" t="n">
        <v>3498</v>
      </c>
      <c r="J41" s="9" t="n">
        <v>4122</v>
      </c>
      <c r="K41" s="9" t="n">
        <v>2638</v>
      </c>
      <c r="L41" s="9" t="n">
        <v>5392</v>
      </c>
      <c r="M41" s="9" t="n">
        <v>3969</v>
      </c>
      <c r="N41" s="9" t="n">
        <v>4862</v>
      </c>
      <c r="O41" s="9" t="n">
        <v>5521</v>
      </c>
      <c r="P41" s="9" t="n">
        <v>5075</v>
      </c>
      <c r="Q41" s="9" t="n">
        <v>5831</v>
      </c>
      <c r="R41" s="9" t="n">
        <v>5424</v>
      </c>
      <c r="S41" s="9" t="n">
        <v>4900</v>
      </c>
      <c r="T41" s="9" t="n">
        <v>5246</v>
      </c>
      <c r="U41" s="9" t="n">
        <v>5184</v>
      </c>
      <c r="V41" s="9" t="n">
        <v>4657</v>
      </c>
      <c r="W41" s="9" t="n">
        <v>4600</v>
      </c>
      <c r="X41" s="9" t="n">
        <v>4537</v>
      </c>
      <c r="Y41" s="9" t="n">
        <v>4764</v>
      </c>
      <c r="Z41" s="4" t="n">
        <v>4688</v>
      </c>
    </row>
    <row r="42" s="4" customFormat="true" ht="12.75" hidden="false" customHeight="true" outlineLevel="0" collapsed="false">
      <c r="B42" s="4" t="s">
        <v>79</v>
      </c>
      <c r="C42" s="9"/>
      <c r="D42" s="9"/>
      <c r="E42" s="9"/>
      <c r="F42" s="9" t="n">
        <v>6109</v>
      </c>
      <c r="G42" s="9" t="n">
        <v>9014</v>
      </c>
      <c r="H42" s="9" t="n">
        <v>9132</v>
      </c>
      <c r="I42" s="9"/>
      <c r="J42" s="9" t="n">
        <v>10378</v>
      </c>
      <c r="K42" s="9" t="n">
        <v>13080</v>
      </c>
      <c r="L42" s="9" t="n">
        <v>14439</v>
      </c>
      <c r="M42" s="9" t="n">
        <v>11581</v>
      </c>
      <c r="N42" s="9" t="n">
        <v>11919</v>
      </c>
      <c r="O42" s="9" t="n">
        <v>9688</v>
      </c>
      <c r="P42" s="9" t="n">
        <v>10888</v>
      </c>
      <c r="Q42" s="9"/>
      <c r="R42" s="9"/>
      <c r="S42" s="9"/>
      <c r="T42" s="9" t="n">
        <v>13145</v>
      </c>
      <c r="U42" s="9"/>
      <c r="V42" s="9" t="n">
        <v>10708</v>
      </c>
      <c r="W42" s="9"/>
      <c r="X42" s="9"/>
      <c r="Y42" s="9" t="n">
        <v>10333</v>
      </c>
      <c r="Z42" s="1" t="n">
        <v>9877</v>
      </c>
    </row>
    <row r="43" s="4" customFormat="true" ht="12.75" hidden="false" customHeight="true" outlineLevel="0" collapsed="false">
      <c r="B43" s="4" t="s">
        <v>80</v>
      </c>
      <c r="C43" s="9"/>
      <c r="D43" s="9"/>
      <c r="E43" s="9"/>
      <c r="F43" s="9" t="n">
        <v>384</v>
      </c>
      <c r="G43" s="9" t="n">
        <v>442</v>
      </c>
      <c r="H43" s="9" t="n">
        <v>565</v>
      </c>
      <c r="I43" s="9"/>
      <c r="J43" s="9" t="n">
        <v>400</v>
      </c>
      <c r="K43" s="9" t="n">
        <v>421</v>
      </c>
      <c r="L43" s="9" t="n">
        <v>431</v>
      </c>
      <c r="M43" s="9" t="n">
        <v>518</v>
      </c>
      <c r="N43" s="9" t="n">
        <v>600</v>
      </c>
      <c r="O43" s="9" t="n">
        <v>671</v>
      </c>
      <c r="P43" s="9" t="n">
        <v>771</v>
      </c>
      <c r="Q43" s="9"/>
      <c r="R43" s="9"/>
      <c r="S43" s="9"/>
      <c r="T43" s="9" t="n">
        <v>696</v>
      </c>
      <c r="U43" s="9"/>
      <c r="V43" s="9" t="n">
        <v>611</v>
      </c>
      <c r="W43" s="9"/>
      <c r="X43" s="9"/>
      <c r="Y43" s="9" t="n">
        <v>1013</v>
      </c>
      <c r="Z43" s="1" t="n">
        <v>1054</v>
      </c>
    </row>
    <row r="44" s="4" customFormat="true" ht="12.75" hidden="false" customHeight="true" outlineLevel="0" collapsed="false">
      <c r="B44" s="4" t="s">
        <v>81</v>
      </c>
      <c r="C44" s="9"/>
      <c r="D44" s="9"/>
      <c r="E44" s="9"/>
      <c r="F44" s="9" t="n">
        <v>30389</v>
      </c>
      <c r="G44" s="9" t="n">
        <v>30379</v>
      </c>
      <c r="H44" s="9" t="n">
        <v>30461</v>
      </c>
      <c r="I44" s="9"/>
      <c r="J44" s="9" t="n">
        <v>30847</v>
      </c>
      <c r="K44" s="9" t="n">
        <v>30876</v>
      </c>
      <c r="L44" s="9" t="n">
        <v>30754</v>
      </c>
      <c r="M44" s="9" t="n">
        <v>30508</v>
      </c>
      <c r="N44" s="9" t="n">
        <v>30978</v>
      </c>
      <c r="O44" s="9" t="n">
        <v>30780</v>
      </c>
      <c r="P44" s="9" t="n">
        <v>30570</v>
      </c>
      <c r="Q44" s="9"/>
      <c r="R44" s="9"/>
      <c r="S44" s="9"/>
      <c r="T44" s="9" t="n">
        <v>29769</v>
      </c>
      <c r="U44" s="9"/>
      <c r="V44" s="9" t="n">
        <v>29314</v>
      </c>
      <c r="W44" s="9"/>
      <c r="X44" s="9"/>
      <c r="Y44" s="9" t="n">
        <v>27741</v>
      </c>
      <c r="Z44" s="1" t="n">
        <v>27617</v>
      </c>
    </row>
    <row r="45" s="4" customFormat="true" ht="12.75" hidden="false" customHeight="true" outlineLevel="0" collapsed="false">
      <c r="B45" s="4" t="s">
        <v>82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="4" customFormat="true" ht="12.75" hidden="false" customHeight="true" outlineLevel="0" collapsed="false">
      <c r="B46" s="4" t="s">
        <v>83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="4" customFormat="true" ht="12.75" hidden="false" customHeight="true" outlineLevel="0" collapsed="false">
      <c r="B47" s="4" t="s">
        <v>84</v>
      </c>
      <c r="C47" s="9"/>
      <c r="D47" s="9"/>
      <c r="E47" s="9"/>
      <c r="F47" s="9" t="n">
        <v>5275</v>
      </c>
      <c r="G47" s="9" t="n">
        <v>5034</v>
      </c>
      <c r="H47" s="9" t="n">
        <v>5142</v>
      </c>
      <c r="I47" s="9"/>
      <c r="J47" s="9" t="n">
        <v>5210</v>
      </c>
      <c r="K47" s="9" t="n">
        <v>4971</v>
      </c>
      <c r="L47" s="9" t="n">
        <v>4792</v>
      </c>
      <c r="M47" s="9" t="n">
        <v>4938</v>
      </c>
      <c r="N47" s="9" t="n">
        <v>5217</v>
      </c>
      <c r="O47" s="9" t="n">
        <v>5280</v>
      </c>
      <c r="P47" s="9" t="n">
        <v>5382</v>
      </c>
      <c r="Q47" s="9"/>
      <c r="R47" s="9"/>
      <c r="S47" s="9"/>
      <c r="T47" s="9" t="n">
        <v>5224</v>
      </c>
      <c r="U47" s="9"/>
      <c r="V47" s="9" t="n">
        <v>5267</v>
      </c>
      <c r="W47" s="9"/>
      <c r="X47" s="9"/>
      <c r="Y47" s="9" t="n">
        <v>5023</v>
      </c>
      <c r="Z47" s="1" t="n">
        <v>5146</v>
      </c>
    </row>
    <row r="48" s="4" customFormat="true" ht="12.75" hidden="false" customHeight="true" outlineLevel="0" collapsed="false">
      <c r="B48" s="4" t="s">
        <v>85</v>
      </c>
      <c r="C48" s="9"/>
      <c r="D48" s="9"/>
      <c r="E48" s="9"/>
      <c r="F48" s="9" t="n">
        <v>5541</v>
      </c>
      <c r="G48" s="9" t="n">
        <v>5644</v>
      </c>
      <c r="H48" s="9" t="n">
        <v>5623</v>
      </c>
      <c r="I48" s="9"/>
      <c r="J48" s="9" t="n">
        <v>5876</v>
      </c>
      <c r="K48" s="9" t="n">
        <v>6213</v>
      </c>
      <c r="L48" s="9" t="n">
        <v>6182</v>
      </c>
      <c r="M48" s="9" t="n">
        <v>6125</v>
      </c>
      <c r="N48" s="9" t="n">
        <v>5871</v>
      </c>
      <c r="O48" s="9" t="n">
        <v>6062</v>
      </c>
      <c r="P48" s="9" t="n">
        <v>6402</v>
      </c>
      <c r="Q48" s="9"/>
      <c r="R48" s="9"/>
      <c r="S48" s="9"/>
      <c r="T48" s="9" t="n">
        <v>6731</v>
      </c>
      <c r="U48" s="9"/>
      <c r="V48" s="9" t="n">
        <v>7092</v>
      </c>
      <c r="W48" s="9"/>
      <c r="X48" s="9"/>
      <c r="Y48" s="9" t="n">
        <v>7370</v>
      </c>
      <c r="Z48" s="1" t="n">
        <v>7161</v>
      </c>
    </row>
    <row r="49" s="4" customFormat="true" ht="12.75" hidden="false" customHeight="true" outlineLevel="0" collapsed="false">
      <c r="B49" s="4" t="s">
        <v>86</v>
      </c>
      <c r="C49" s="9"/>
      <c r="D49" s="9"/>
      <c r="E49" s="9"/>
      <c r="F49" s="9" t="n">
        <v>51774</v>
      </c>
      <c r="G49" s="9" t="n">
        <v>53614</v>
      </c>
      <c r="H49" s="9" t="n">
        <v>55456</v>
      </c>
      <c r="I49" s="9"/>
      <c r="J49" s="9" t="n">
        <v>57888</v>
      </c>
      <c r="K49" s="9" t="n">
        <v>60402</v>
      </c>
      <c r="L49" s="9" t="n">
        <v>64345</v>
      </c>
      <c r="M49" s="9" t="n">
        <v>59329</v>
      </c>
      <c r="N49" s="9" t="n">
        <v>60982</v>
      </c>
      <c r="O49" s="9" t="n">
        <v>60177</v>
      </c>
      <c r="P49" s="9" t="n">
        <v>60667</v>
      </c>
      <c r="Q49" s="9"/>
      <c r="R49" s="9"/>
      <c r="S49" s="9"/>
      <c r="T49" s="9" t="n">
        <v>63615</v>
      </c>
      <c r="U49" s="9"/>
      <c r="V49" s="9" t="n">
        <v>60143</v>
      </c>
      <c r="W49" s="9"/>
      <c r="X49" s="9"/>
      <c r="Y49" s="9" t="n">
        <v>58615</v>
      </c>
      <c r="Z49" s="1" t="n">
        <v>57988</v>
      </c>
    </row>
    <row r="50" s="4" customFormat="true" ht="12.75" hidden="false" customHeight="true" outlineLevel="0" collapsed="false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="4" customFormat="true" ht="12.75" hidden="false" customHeight="true" outlineLevel="0" collapsed="false">
      <c r="B51" s="4" t="s">
        <v>87</v>
      </c>
      <c r="C51" s="9"/>
      <c r="D51" s="9"/>
      <c r="E51" s="9"/>
      <c r="F51" s="9" t="n">
        <v>6082</v>
      </c>
      <c r="G51" s="9" t="n">
        <v>9113</v>
      </c>
      <c r="H51" s="9" t="n">
        <v>10168</v>
      </c>
      <c r="I51" s="9"/>
      <c r="J51" s="9" t="n">
        <v>12495</v>
      </c>
      <c r="K51" s="9" t="n">
        <v>15236</v>
      </c>
      <c r="L51" s="9" t="n">
        <v>16643</v>
      </c>
      <c r="M51" s="9" t="n">
        <v>13003</v>
      </c>
      <c r="N51" s="9" t="n">
        <v>12728</v>
      </c>
      <c r="O51" s="9" t="n">
        <v>10498</v>
      </c>
      <c r="P51" s="9" t="n">
        <v>10825</v>
      </c>
      <c r="Q51" s="9"/>
      <c r="R51" s="9"/>
      <c r="S51" s="9"/>
      <c r="T51" s="9" t="n">
        <v>14565</v>
      </c>
      <c r="U51" s="9"/>
      <c r="V51" s="9" t="n">
        <v>12092</v>
      </c>
      <c r="W51" s="9"/>
      <c r="X51" s="9"/>
      <c r="Y51" s="9" t="n">
        <v>10694</v>
      </c>
      <c r="Z51" s="1" t="n">
        <v>10139</v>
      </c>
    </row>
    <row r="52" s="4" customFormat="true" ht="12.75" hidden="false" customHeight="true" outlineLevel="0" collapsed="false">
      <c r="B52" s="4" t="s">
        <v>88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="4" customFormat="true" ht="12.75" hidden="false" customHeight="true" outlineLevel="0" collapsed="false">
      <c r="B53" s="4" t="s">
        <v>11</v>
      </c>
      <c r="C53" s="9"/>
      <c r="D53" s="9"/>
      <c r="E53" s="9"/>
      <c r="F53" s="9" t="n">
        <v>13954</v>
      </c>
      <c r="G53" s="9" t="n">
        <v>13930</v>
      </c>
      <c r="H53" s="9" t="n">
        <v>13636</v>
      </c>
      <c r="I53" s="9"/>
      <c r="J53" s="9" t="n">
        <v>12606</v>
      </c>
      <c r="K53" s="9" t="n">
        <v>11866</v>
      </c>
      <c r="L53" s="9" t="n">
        <v>11858</v>
      </c>
      <c r="M53" s="9" t="n">
        <v>10570</v>
      </c>
      <c r="N53" s="9" t="n">
        <v>10526</v>
      </c>
      <c r="O53" s="9" t="n">
        <v>10173</v>
      </c>
      <c r="P53" s="9" t="n">
        <v>10130</v>
      </c>
      <c r="Q53" s="9" t="n">
        <v>8020</v>
      </c>
      <c r="R53" s="9"/>
      <c r="S53" s="9"/>
      <c r="T53" s="9" t="n">
        <v>9746</v>
      </c>
      <c r="U53" s="9" t="n">
        <v>7585</v>
      </c>
      <c r="V53" s="9" t="n">
        <v>9720</v>
      </c>
      <c r="W53" s="9" t="n">
        <v>8500</v>
      </c>
      <c r="X53" s="9" t="n">
        <v>10265</v>
      </c>
      <c r="Y53" s="9" t="n">
        <v>9687</v>
      </c>
      <c r="Z53" s="1" t="n">
        <v>9670</v>
      </c>
    </row>
    <row r="54" s="4" customFormat="true" ht="12.75" hidden="false" customHeight="true" outlineLevel="0" collapsed="false">
      <c r="B54" s="4" t="s">
        <v>89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="4" customFormat="true" ht="12.75" hidden="false" customHeight="true" outlineLevel="0" collapsed="false">
      <c r="B55" s="4" t="s">
        <v>71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="4" customFormat="true" ht="12.75" hidden="false" customHeight="true" outlineLevel="0" collapsed="false">
      <c r="B56" s="4" t="s">
        <v>82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="4" customFormat="true" ht="12.75" hidden="false" customHeight="true" outlineLevel="0" collapsed="false">
      <c r="B57" s="4" t="s">
        <v>90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="4" customFormat="true" ht="12.75" hidden="false" customHeight="true" outlineLevel="0" collapsed="false">
      <c r="B58" s="4" t="s">
        <v>91</v>
      </c>
      <c r="C58" s="9"/>
      <c r="D58" s="9" t="n">
        <v>6824</v>
      </c>
      <c r="E58" s="9"/>
      <c r="F58" s="9" t="n">
        <v>6814</v>
      </c>
      <c r="G58" s="9" t="n">
        <v>6810</v>
      </c>
      <c r="H58" s="9" t="n">
        <v>6819</v>
      </c>
      <c r="I58" s="9"/>
      <c r="J58" s="9" t="n">
        <v>6827</v>
      </c>
      <c r="K58" s="9" t="n">
        <v>6832</v>
      </c>
      <c r="L58" s="9"/>
      <c r="M58" s="9" t="n">
        <v>6858</v>
      </c>
      <c r="N58" s="9"/>
      <c r="O58" s="9"/>
      <c r="P58" s="9"/>
      <c r="Q58" s="9"/>
      <c r="R58" s="9"/>
      <c r="S58" s="9" t="n">
        <v>6916</v>
      </c>
      <c r="T58" s="9" t="n">
        <v>6929</v>
      </c>
      <c r="U58" s="9"/>
      <c r="V58" s="9" t="n">
        <v>6939</v>
      </c>
      <c r="W58" s="9" t="n">
        <v>6944</v>
      </c>
      <c r="X58" s="9" t="n">
        <v>6956</v>
      </c>
      <c r="Y58" s="9" t="n">
        <v>6972</v>
      </c>
      <c r="Z58" s="1" t="n">
        <v>6981</v>
      </c>
    </row>
    <row r="59" s="4" customFormat="true" ht="12.75" hidden="false" customHeight="true" outlineLevel="0" collapsed="false">
      <c r="B59" s="4" t="s">
        <v>92</v>
      </c>
      <c r="C59" s="9"/>
      <c r="D59" s="9" t="n">
        <v>30575</v>
      </c>
      <c r="E59" s="9"/>
      <c r="F59" s="9" t="n">
        <v>28953</v>
      </c>
      <c r="G59" s="9" t="n">
        <v>27849</v>
      </c>
      <c r="H59" s="9" t="n">
        <v>27610</v>
      </c>
      <c r="I59" s="9"/>
      <c r="J59" s="9" t="n">
        <v>28281</v>
      </c>
      <c r="K59" s="9" t="n">
        <v>28785</v>
      </c>
      <c r="L59" s="9"/>
      <c r="M59" s="9" t="n">
        <v>35510</v>
      </c>
      <c r="N59" s="9"/>
      <c r="O59" s="9"/>
      <c r="P59" s="9"/>
      <c r="Q59" s="9"/>
      <c r="R59" s="9"/>
      <c r="S59" s="9" t="n">
        <v>46519</v>
      </c>
      <c r="T59" s="9" t="n">
        <v>47052</v>
      </c>
      <c r="U59" s="9"/>
      <c r="V59" s="9" t="n">
        <v>47016</v>
      </c>
      <c r="W59" s="9" t="n">
        <v>46065</v>
      </c>
      <c r="X59" s="9" t="n">
        <v>46425</v>
      </c>
      <c r="Y59" s="9" t="n">
        <v>47169</v>
      </c>
      <c r="Z59" s="1" t="n">
        <v>47959</v>
      </c>
    </row>
    <row r="60" s="4" customFormat="true" ht="12.75" hidden="false" customHeight="true" outlineLevel="0" collapsed="false">
      <c r="B60" s="4" t="s">
        <v>93</v>
      </c>
      <c r="C60" s="9"/>
      <c r="D60" s="9" t="n">
        <v>-1799</v>
      </c>
      <c r="E60" s="9"/>
      <c r="F60" s="9" t="n">
        <v>-1254</v>
      </c>
      <c r="G60" s="9" t="n">
        <v>-1165</v>
      </c>
      <c r="H60" s="9" t="n">
        <v>-1089</v>
      </c>
      <c r="I60" s="9"/>
      <c r="J60" s="9" t="n">
        <v>-1008</v>
      </c>
      <c r="K60" s="9" t="n">
        <v>-1009</v>
      </c>
      <c r="L60" s="9"/>
      <c r="M60" s="9" t="n">
        <v>-1997</v>
      </c>
      <c r="N60" s="9"/>
      <c r="O60" s="9"/>
      <c r="P60" s="9"/>
      <c r="Q60" s="9"/>
      <c r="R60" s="9"/>
      <c r="S60" s="9" t="n">
        <v>-1055</v>
      </c>
      <c r="T60" s="9" t="n">
        <v>-1172</v>
      </c>
      <c r="U60" s="9"/>
      <c r="V60" s="9" t="n">
        <v>-1272</v>
      </c>
      <c r="W60" s="9" t="n">
        <v>-1109</v>
      </c>
      <c r="X60" s="9" t="n">
        <v>-553</v>
      </c>
      <c r="Y60" s="9" t="n">
        <v>-708</v>
      </c>
      <c r="Z60" s="1" t="n">
        <v>-469</v>
      </c>
    </row>
    <row r="61" s="4" customFormat="true" ht="12.75" hidden="false" customHeight="true" outlineLevel="0" collapsed="false">
      <c r="B61" s="4" t="s">
        <v>94</v>
      </c>
      <c r="C61" s="9"/>
      <c r="D61" s="9" t="n">
        <v>-15760</v>
      </c>
      <c r="E61" s="9"/>
      <c r="F61" s="9" t="n">
        <v>-15719</v>
      </c>
      <c r="G61" s="9" t="n">
        <v>-15700</v>
      </c>
      <c r="H61" s="9" t="n">
        <v>-15696</v>
      </c>
      <c r="I61" s="9"/>
      <c r="J61" s="9" t="n">
        <v>-15677</v>
      </c>
      <c r="K61" s="9" t="n">
        <v>-15794</v>
      </c>
      <c r="L61" s="9"/>
      <c r="M61" s="9" t="n">
        <v>-18466</v>
      </c>
      <c r="N61" s="9"/>
      <c r="O61" s="9"/>
      <c r="P61" s="9"/>
      <c r="Q61" s="9"/>
      <c r="R61" s="9"/>
      <c r="S61" s="9" t="n">
        <v>-26330</v>
      </c>
      <c r="T61" s="9" t="n">
        <v>-27373</v>
      </c>
      <c r="U61" s="9"/>
      <c r="V61" s="9" t="n">
        <v>-28178</v>
      </c>
      <c r="W61" s="9" t="n">
        <v>-28417</v>
      </c>
      <c r="X61" s="9" t="n">
        <v>-28757</v>
      </c>
      <c r="Y61" s="9" t="n">
        <v>-29686</v>
      </c>
      <c r="Z61" s="1" t="n">
        <v>-30753</v>
      </c>
    </row>
    <row r="62" s="4" customFormat="true" ht="12.75" hidden="false" customHeight="true" outlineLevel="0" collapsed="false">
      <c r="B62" s="4" t="s">
        <v>95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="4" customFormat="true" ht="12.75" hidden="false" customHeight="true" outlineLevel="0" collapsed="false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="4" customFormat="true" ht="12.75" hidden="false" customHeight="true" outlineLevel="0" collapsed="false">
      <c r="B64" s="4" t="s">
        <v>96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AB64" s="9"/>
      <c r="AC64" s="9"/>
      <c r="AD64" s="9"/>
      <c r="AE64" s="9"/>
    </row>
    <row r="65" s="4" customFormat="true" ht="12.75" hidden="false" customHeight="true" outlineLevel="0" collapsed="false">
      <c r="B65" s="4" t="s">
        <v>97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="4" customFormat="true" ht="12.75" hidden="false" customHeight="true" outlineLevel="0" collapsed="false">
      <c r="B66" s="4" t="s">
        <v>65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="4" customFormat="true" ht="12.75" hidden="false" customHeight="true" outlineLevel="0" collapsed="false">
      <c r="B67" s="4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="4" customFormat="true" ht="12.75" hidden="false" customHeight="true" outlineLevel="0" collapsed="false">
      <c r="B68" s="4" t="s">
        <v>82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="4" customFormat="true" ht="12.75" hidden="false" customHeight="true" outlineLevel="0" collapsed="false">
      <c r="B69" s="4" t="s">
        <v>84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="4" customFormat="true" ht="12.75" hidden="false" customHeight="true" outlineLevel="0" collapsed="false">
      <c r="B70" s="4" t="s">
        <v>99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="4" customFormat="true" ht="12.75" hidden="false" customHeight="true" outlineLevel="0" collapsed="false">
      <c r="B71" s="4" t="s">
        <v>100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="4" customFormat="true" ht="12.75" hidden="false" customHeight="true" outlineLevel="0" collapsed="false">
      <c r="B72" s="4" t="s">
        <v>89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="4" customFormat="true" ht="12.75" hidden="false" customHeight="true" outlineLevel="0" collapsed="false">
      <c r="B73" s="4" t="s">
        <v>101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="4" customFormat="true" ht="12.75" hidden="false" customHeight="true" outlineLevel="0" collapsed="false">
      <c r="B74" s="4" t="s">
        <v>102</v>
      </c>
      <c r="C74" s="9" t="n">
        <v>-49</v>
      </c>
      <c r="D74" s="9"/>
      <c r="E74" s="9" t="n">
        <v>165</v>
      </c>
      <c r="F74" s="9"/>
      <c r="G74" s="9" t="n">
        <v>-52</v>
      </c>
      <c r="H74" s="9" t="n">
        <v>2008</v>
      </c>
      <c r="I74" s="9" t="n">
        <v>1449</v>
      </c>
      <c r="J74" s="9"/>
      <c r="K74" s="9"/>
      <c r="L74" s="9"/>
      <c r="M74" s="9"/>
      <c r="N74" s="9"/>
      <c r="O74" s="9"/>
      <c r="P74" s="9"/>
      <c r="Q74" s="9"/>
      <c r="R74" s="9"/>
      <c r="S74" s="9" t="n">
        <v>1800</v>
      </c>
      <c r="T74" s="9" t="n">
        <v>2518</v>
      </c>
      <c r="U74" s="9" t="n">
        <v>1295</v>
      </c>
      <c r="V74" s="9"/>
      <c r="W74" s="9" t="n">
        <v>952</v>
      </c>
      <c r="X74" s="9" t="n">
        <v>936</v>
      </c>
      <c r="Y74" s="9" t="n">
        <v>1881</v>
      </c>
    </row>
    <row r="75" s="4" customFormat="true" ht="12.75" hidden="false" customHeight="true" outlineLevel="0" collapsed="false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="4" customFormat="true" ht="12.75" hidden="false" customHeight="true" outlineLevel="0" collapsed="false">
      <c r="B76" s="4" t="s">
        <v>103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="4" customFormat="true" ht="12.75" hidden="false" customHeight="true" outlineLevel="0" collapsed="false">
      <c r="B77" s="4" t="s">
        <v>104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="4" customFormat="true" ht="12.75" hidden="false" customHeight="true" outlineLevel="0" collapsed="false">
      <c r="B78" s="4" t="s">
        <v>105</v>
      </c>
      <c r="C78" s="9" t="n">
        <v>-767</v>
      </c>
      <c r="D78" s="9"/>
      <c r="E78" s="9" t="n">
        <v>-517</v>
      </c>
      <c r="F78" s="9"/>
      <c r="G78" s="9" t="n">
        <v>-582</v>
      </c>
      <c r="H78" s="9" t="n">
        <v>-539</v>
      </c>
      <c r="I78" s="9" t="n">
        <v>-585</v>
      </c>
      <c r="J78" s="9"/>
      <c r="K78" s="9"/>
      <c r="L78" s="9"/>
      <c r="M78" s="9"/>
      <c r="N78" s="9"/>
      <c r="O78" s="9"/>
      <c r="P78" s="9"/>
      <c r="Q78" s="9"/>
      <c r="R78" s="9"/>
      <c r="S78" s="9" t="n">
        <v>-661</v>
      </c>
      <c r="T78" s="9" t="n">
        <v>-420</v>
      </c>
      <c r="U78" s="9" t="n">
        <v>-429</v>
      </c>
      <c r="V78" s="9" t="n">
        <v>-547</v>
      </c>
      <c r="W78" s="9" t="n">
        <v>-660</v>
      </c>
      <c r="X78" s="9" t="n">
        <v>-407</v>
      </c>
      <c r="Y78" s="9" t="n">
        <v>-409</v>
      </c>
      <c r="Z78" s="4" t="n">
        <v>-412</v>
      </c>
    </row>
    <row r="79" s="4" customFormat="true" ht="12.75" hidden="false" customHeight="true" outlineLevel="0" collapsed="false">
      <c r="B79" s="4" t="s">
        <v>106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="4" customFormat="true" ht="12.75" hidden="false" customHeight="true" outlineLevel="0" collapsed="false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="4" customFormat="true" ht="12.75" hidden="false" customHeight="true" outlineLevel="0" collapsed="false">
      <c r="B81" s="4" t="s">
        <v>107</v>
      </c>
      <c r="C81" s="9"/>
      <c r="D81" s="9"/>
      <c r="E81" s="9"/>
      <c r="F81" s="9"/>
      <c r="G81" s="9"/>
      <c r="H81" s="9" t="n">
        <v>-15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 t="n">
        <v>-1043</v>
      </c>
      <c r="U81" s="9" t="n">
        <v>-565</v>
      </c>
      <c r="V81" s="9"/>
      <c r="W81" s="9" t="n">
        <v>-277</v>
      </c>
      <c r="X81" s="9"/>
      <c r="Y81" s="9" t="n">
        <v>-931</v>
      </c>
    </row>
    <row r="82" s="4" customFormat="true" ht="12.75" hidden="false" customHeight="true" outlineLevel="0" collapsed="false">
      <c r="B82" s="4" t="s">
        <v>71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="4" customFormat="true" ht="12.75" hidden="false" customHeight="true" outlineLevel="0" collapsed="false">
      <c r="B83" s="4" t="s">
        <v>108</v>
      </c>
      <c r="C83" s="9"/>
      <c r="D83" s="9"/>
      <c r="E83" s="9" t="n">
        <v>-400</v>
      </c>
      <c r="F83" s="9"/>
      <c r="G83" s="9"/>
      <c r="H83" s="9" t="n">
        <v>-401</v>
      </c>
      <c r="I83" s="9" t="n">
        <v>-400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 t="n">
        <v>-347</v>
      </c>
      <c r="U83" s="9" t="n">
        <v>-342</v>
      </c>
      <c r="V83" s="9"/>
      <c r="W83" s="9" t="n">
        <v>-356</v>
      </c>
      <c r="X83" s="9"/>
      <c r="Y83" s="9" t="n">
        <v>-351</v>
      </c>
    </row>
    <row r="84" s="4" customFormat="true" ht="12.75" hidden="false" customHeight="true" outlineLevel="0" collapsed="false">
      <c r="B84" s="4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="4" customFormat="true" ht="12.75" hidden="false" customHeight="true" outlineLevel="0" collapsed="false">
      <c r="B85" s="4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customFormat="false" ht="12.75" hidden="false" customHeight="true" outlineLevel="0" collapsed="false">
      <c r="B86" s="4" t="s">
        <v>111</v>
      </c>
      <c r="G86" s="9"/>
      <c r="H86" s="9"/>
      <c r="I86" s="9"/>
      <c r="J86" s="9"/>
      <c r="K86" s="9"/>
      <c r="L86" s="9"/>
      <c r="M86" s="9"/>
      <c r="N86" s="9"/>
      <c r="U86" s="9"/>
      <c r="AB86" s="9"/>
      <c r="AC86" s="9"/>
      <c r="AD86" s="9"/>
    </row>
    <row r="88" customFormat="false" ht="12.75" hidden="false" customHeight="true" outlineLevel="0" collapsed="false">
      <c r="B88" s="4" t="s">
        <v>112</v>
      </c>
      <c r="J88" s="9"/>
      <c r="K88" s="9"/>
      <c r="L88" s="9"/>
      <c r="M88" s="9"/>
      <c r="N88" s="9"/>
      <c r="AB88" s="4"/>
      <c r="AC88" s="4"/>
      <c r="AD88" s="4"/>
    </row>
    <row r="89" customFormat="false" ht="12.75" hidden="false" customHeight="true" outlineLevel="0" collapsed="false">
      <c r="B89" s="4" t="s">
        <v>113</v>
      </c>
      <c r="AC89" s="18"/>
      <c r="AD89" s="18"/>
    </row>
    <row r="90" customFormat="false" ht="12.75" hidden="false" customHeight="true" outlineLevel="0" collapsed="false">
      <c r="B90" s="4" t="s">
        <v>114</v>
      </c>
      <c r="J90" s="9"/>
      <c r="K90" s="9"/>
      <c r="L90" s="9"/>
      <c r="M90" s="9"/>
      <c r="N90" s="9"/>
      <c r="AB90" s="4"/>
      <c r="AC90" s="4"/>
      <c r="AD90" s="4"/>
    </row>
    <row r="91" customFormat="false" ht="12.75" hidden="false" customHeight="true" outlineLevel="0" collapsed="false">
      <c r="AB91" s="18"/>
      <c r="AC91" s="18"/>
      <c r="AD91" s="18"/>
    </row>
  </sheetData>
  <hyperlinks>
    <hyperlink ref="A1" location="Main!A1" display="Ma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Company>NUC Holding</Company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VLO</dc:title>
  <dc:subject/>
  <dc:creator>Miguel Hernández</dc:creator>
  <dc:description/>
  <cp:lastModifiedBy>Miguel Hernandez</cp:lastModifiedBy>
  <cp:revision>0</cp:revision>
  <dcterms:created xsi:type="dcterms:W3CDTF">2022-06-12T04:44:53Z</dcterms:created>
  <dcterms:modified xsi:type="dcterms:W3CDTF">2026-08-07T20:15:42Z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